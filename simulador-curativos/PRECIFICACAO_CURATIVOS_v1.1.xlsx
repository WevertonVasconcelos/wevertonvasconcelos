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Configurações" sheetId="2" state="visible" r:id="rId2"/>
    <sheet xmlns:r="http://schemas.openxmlformats.org/officeDocument/2006/relationships" name="Histórico de simulações" sheetId="3" state="visible" r:id="rId3"/>
  </sheets>
  <definedNames>
    <definedName name="_xlnm._FilterDatabase" localSheetId="2" hidden="1">'Histórico de simulações'!$A$4:$W$1000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;[RED]&quot;-R$ &quot;#,##0.00"/>
    <numFmt numFmtId="165" formatCode="0.0%;[RED]\-0.0%"/>
  </numFmts>
  <fonts count="18">
    <font>
      <name val="Calibri"/>
      <family val="2"/>
      <color theme="1"/>
      <sz val="11"/>
      <scheme val="minor"/>
    </font>
    <font>
      <name val="Arial"/>
      <b val="1"/>
      <color rgb="FF8C7044"/>
      <sz val="16"/>
    </font>
    <font>
      <name val="Arial"/>
      <color rgb="FF5A5A5A"/>
      <sz val="9"/>
    </font>
    <font>
      <name val="Arial"/>
      <b val="1"/>
      <color rgb="FF2D2D2D"/>
      <sz val="10"/>
    </font>
    <font>
      <name val="Calibri"/>
      <color theme="1"/>
      <sz val="11"/>
    </font>
    <font>
      <name val="Arial"/>
      <color rgb="FF2D2D2D"/>
      <sz val="11"/>
    </font>
    <font>
      <name val="Arial"/>
      <b val="1"/>
      <color rgb="FF0000FF"/>
      <sz val="11"/>
    </font>
    <font>
      <name val="Arial"/>
      <i val="1"/>
      <color rgb="FF5A5A5A"/>
      <sz val="9"/>
    </font>
    <font>
      <name val="Arial"/>
      <color rgb="FF5A5A5A"/>
      <sz val="8"/>
    </font>
    <font>
      <name val="Arial"/>
      <b val="1"/>
      <color rgb="FF2D2D2D"/>
      <sz val="11"/>
    </font>
    <font>
      <name val="Arial"/>
      <b val="1"/>
      <color rgb="FF2D2D2D"/>
      <sz val="12"/>
    </font>
    <font>
      <name val="Arial"/>
      <b val="1"/>
      <color rgb="FF8C7044"/>
      <sz val="11"/>
    </font>
    <font>
      <name val="Arial"/>
      <b val="1"/>
      <color rgb="FF2D2D2D"/>
      <sz val="13"/>
    </font>
    <font>
      <name val="Arial"/>
      <b val="1"/>
      <color rgb="FF8C7044"/>
      <sz val="10"/>
    </font>
    <font>
      <name val="Arial"/>
      <b val="1"/>
      <color rgb="FF8C7044"/>
      <sz val="14"/>
    </font>
    <font>
      <name val="Arial"/>
      <b val="1"/>
      <color rgb="FF2D2D2D"/>
      <sz val="9"/>
    </font>
    <font>
      <name val="Arial"/>
      <i val="1"/>
      <color rgb="FF8C3A3A"/>
      <sz val="9"/>
    </font>
    <font>
      <name val="Arial"/>
      <color rgb="FF2D2D2D"/>
      <sz val="10"/>
    </font>
  </fonts>
  <fills count="6">
    <fill>
      <patternFill/>
    </fill>
    <fill>
      <patternFill patternType="gray125"/>
    </fill>
    <fill>
      <patternFill patternType="solid">
        <fgColor rgb="FFE8DDD2"/>
        <bgColor rgb="FFE8DDD2"/>
      </patternFill>
    </fill>
    <fill>
      <patternFill patternType="solid">
        <fgColor rgb="FFFFF2CC"/>
        <bgColor rgb="FFFFF2CC"/>
      </patternFill>
    </fill>
    <fill>
      <patternFill patternType="solid">
        <fgColor rgb="FFD4B896"/>
        <bgColor rgb="FFD4B896"/>
      </patternFill>
    </fill>
    <fill>
      <patternFill patternType="solid">
        <fgColor rgb="FFF5F0EB"/>
        <bgColor rgb="FFF5F0EB"/>
      </patternFill>
    </fill>
  </fills>
  <borders count="5">
    <border>
      <left/>
      <right/>
      <top/>
      <bottom/>
      <diagonal/>
    </border>
    <border/>
    <border>
      <left/>
      <right/>
      <top/>
      <bottom/>
    </border>
    <border>
      <left style="thin">
        <color rgb="FFE0B93C"/>
      </left>
      <right style="thin">
        <color rgb="FFE0B93C"/>
      </right>
      <top style="thin">
        <color rgb="FFE0B93C"/>
      </top>
      <bottom style="thin">
        <color rgb="FFE0B93C"/>
      </bottom>
    </border>
    <border>
      <left style="thin">
        <color rgb="FFC8B49A"/>
      </left>
      <right style="thin">
        <color rgb="FFC8B49A"/>
      </right>
      <top style="thin">
        <color rgb="FFC8B49A"/>
      </top>
      <bottom style="thin">
        <color rgb="FFC8B49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8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2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49" fontId="6" fillId="3" borderId="3" applyAlignment="1" pivotButton="0" quotePrefix="0" xfId="0">
      <alignment horizontal="left" vertical="bottom"/>
    </xf>
    <xf numFmtId="0" fontId="7" fillId="0" borderId="1" applyAlignment="1" pivotButton="0" quotePrefix="0" xfId="0">
      <alignment vertical="bottom"/>
    </xf>
    <xf numFmtId="164" fontId="6" fillId="3" borderId="3" applyAlignment="1" pivotButton="0" quotePrefix="0" xfId="0">
      <alignment horizontal="center" vertical="bottom"/>
    </xf>
    <xf numFmtId="1" fontId="6" fillId="3" borderId="3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9" fillId="4" borderId="4" applyAlignment="1" pivotButton="0" quotePrefix="0" xfId="0">
      <alignment vertical="bottom"/>
    </xf>
    <xf numFmtId="164" fontId="10" fillId="4" borderId="4" applyAlignment="1" pivotButton="0" quotePrefix="0" xfId="0">
      <alignment horizontal="center" vertical="bottom"/>
    </xf>
    <xf numFmtId="0" fontId="11" fillId="5" borderId="4" applyAlignment="1" pivotButton="0" quotePrefix="0" xfId="0">
      <alignment horizontal="left" vertical="center"/>
    </xf>
    <xf numFmtId="164" fontId="12" fillId="5" borderId="4" applyAlignment="1" pivotButton="0" quotePrefix="0" xfId="0">
      <alignment horizontal="center" vertical="bottom"/>
    </xf>
    <xf numFmtId="165" fontId="12" fillId="5" borderId="4" applyAlignment="1" pivotButton="0" quotePrefix="0" xfId="0">
      <alignment horizontal="center" vertical="bottom"/>
    </xf>
    <xf numFmtId="0" fontId="13" fillId="5" borderId="2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bottom"/>
    </xf>
    <xf numFmtId="0" fontId="14" fillId="0" borderId="1" applyAlignment="1" pivotButton="0" quotePrefix="0" xfId="0">
      <alignment vertical="bottom"/>
    </xf>
    <xf numFmtId="0" fontId="9" fillId="2" borderId="2" applyAlignment="1" pivotButton="0" quotePrefix="0" xfId="0">
      <alignment vertical="bottom"/>
    </xf>
    <xf numFmtId="0" fontId="15" fillId="4" borderId="4" applyAlignment="1" pivotButton="0" quotePrefix="0" xfId="0">
      <alignment horizontal="left" vertical="bottom" wrapText="1"/>
    </xf>
    <xf numFmtId="0" fontId="15" fillId="4" borderId="4" applyAlignment="1" pivotButton="0" quotePrefix="0" xfId="0">
      <alignment horizontal="center" vertical="bottom" wrapText="1"/>
    </xf>
    <xf numFmtId="0" fontId="5" fillId="0" borderId="4" applyAlignment="1" pivotButton="0" quotePrefix="0" xfId="0">
      <alignment vertical="bottom"/>
    </xf>
    <xf numFmtId="165" fontId="6" fillId="0" borderId="4" applyAlignment="1" pivotButton="0" quotePrefix="0" xfId="0">
      <alignment horizontal="center" vertical="bottom"/>
    </xf>
    <xf numFmtId="165" fontId="6" fillId="3" borderId="4" applyAlignment="1" pivotButton="0" quotePrefix="0" xfId="0">
      <alignment horizontal="center" vertical="bottom"/>
    </xf>
    <xf numFmtId="0" fontId="16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center"/>
    </xf>
    <xf numFmtId="0" fontId="15" fillId="4" borderId="4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FFC00000"/>
      </font>
      <fill>
        <patternFill patternType="solid">
          <fgColor rgb="FFFCE4E4"/>
          <bgColor rgb="FFFCE4E4"/>
        </patternFill>
      </fill>
    </dxf>
    <dxf>
      <font>
        <b val="1"/>
        <color rgb="FF8C3A3A"/>
      </font>
      <fill>
        <patternFill patternType="solid">
          <fgColor rgb="FFFCE4E4"/>
          <bgColor rgb="FF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" customWidth="1" min="3" max="3"/>
    <col width="38" customWidth="1" min="4" max="4"/>
    <col hidden="1" width="30" customWidth="1" min="5" max="5"/>
  </cols>
  <sheetData>
    <row r="1">
      <c r="A1" s="1" t="inlineStr">
        <is>
          <t>SIMULADOR DE PLANOS DE CURATIVOS</t>
        </is>
      </c>
      <c r="E1" s="2" t="inlineStr">
        <is>
          <t>CONTROLE INTERNO — não editar</t>
        </is>
      </c>
    </row>
    <row r="2">
      <c r="A2" s="3" t="inlineStr">
        <is>
          <t>VÉRAS VASCONCELOS  ·  MEDICINA E SAÚDE</t>
        </is>
      </c>
      <c r="E2" s="2">
        <f>IF(AND($B$6="",$B$7=""),"Preencha os campos amarelos para ver o resultado.",IF(OR(NOT(ISNUMBER($B$6)),N($B$6)&lt;=0),"Valor total cobrado inválido: informe um número maior que zero.",IF(OR(NOT(ISNUMBER($B$7)),N($B$7)&lt;=0,N($B$7)&lt;&gt;INT(N($B$7))),"Número de curativos inválido: informe um número inteiro maior que zero.",IF(ISNA(MATCH($B$8,'Configurações'!$A$7:$A$8,0)),"Selecione um local de atendimento válido na lista.",IF(ISNA(MATCH($B$9,'Configurações'!$A$13:$A$17,0)),"Selecione uma forma de pagamento válida na lista.",IF(NOT(ISNUMBER($E$3)),"Falta a taxa do local "&amp;$B$8&amp;" em Configurações — cálculo suspenso.",IF(NOT(ISNUMBER($E$4)),"Falta a taxa de "&amp;$B$9&amp;" em Configurações — cálculo e salvamento suspensos até informá-la.",IF(NOT(ISNUMBER($E$5)),"Falta a alíquota do Simples Nacional em Configurações — cálculo suspenso.",IF(OR($E$3&lt;0,$E$3&gt;=1,$E$4&lt;0,$E$4&gt;=1,$E$5&lt;0,$E$5&gt;=1),"Há taxa fora do intervalo de 0% a 99,9% em Configurações — revise.",IF(AND($B$10&lt;&gt;"",OR(NOT(ISNUMBER($B$10)),N($B$10)&lt;0)),"Custo de material inválido: use valor maior ou igual a zero ou deixe em branco.",IF(AND($B$11&lt;&gt;"",OR(NOT(ISNUMBER($B$11)),N($B$11)&lt;0)),"Custo de deslocamento inválido: use valor maior ou igual a zero ou deixe em branco.",IF(AND($B$12&lt;&gt;"",OR(NOT(ISNUMBER($B$12)),N($B$12)&lt;0)),"Outras despesas inválidas: use valor maior ou igual a zero ou deixe em branco.",IF(AND($B$13&lt;&gt;"",OR(NOT(ISNUMBER($B$13)),N($B$13)&lt;0)),"Despesas fixas inválidas: use valor maior ou igual a zero ou deixe em branco.","")))))))))))))</f>
        <v/>
      </c>
    </row>
    <row r="3">
      <c r="E3" s="2">
        <f>IFERROR(IF(INDEX('Configurações'!$B$7:$B$8,MATCH($B$8,'Configurações'!$A$7:$A$8,0))&amp;""="","",INDEX('Configurações'!$B$7:$B$8,MATCH($B$8,'Configurações'!$A$7:$A$8,0))),"")</f>
        <v/>
      </c>
    </row>
    <row r="4" ht="18" customHeight="1">
      <c r="A4" s="4" t="inlineStr">
        <is>
          <t>DADOS DO PLANO   ·   preencha os campos amarelos</t>
        </is>
      </c>
      <c r="B4" s="5" t="n"/>
      <c r="E4" s="2">
        <f>IFERROR(IF(INDEX('Configurações'!$B$13:$B$17,MATCH($B$9,'Configurações'!$A$13:$A$17,0))&amp;""="","",INDEX('Configurações'!$B$13:$B$17,MATCH($B$9,'Configurações'!$A$13:$A$17,0))),"")</f>
        <v/>
      </c>
    </row>
    <row r="5" ht="18.75" customHeight="1">
      <c r="A5" s="6" t="inlineStr">
        <is>
          <t>Nome do paciente</t>
        </is>
      </c>
      <c r="B5" s="7" t="inlineStr">
        <is>
          <t>Alexandre</t>
        </is>
      </c>
      <c r="D5" s="8" t="inlineStr">
        <is>
          <t>Obrigatório para salvar.</t>
        </is>
      </c>
      <c r="E5" s="2">
        <f>IF('Configurações'!$B$24&amp;""="","",'Configurações'!$B$24)</f>
        <v/>
      </c>
    </row>
    <row r="6" ht="18.75" customHeight="1">
      <c r="A6" s="6" t="inlineStr">
        <is>
          <t>Valor total cobrado</t>
        </is>
      </c>
      <c r="B6" s="9" t="n">
        <v>1300</v>
      </c>
      <c r="D6" s="8" t="inlineStr">
        <is>
          <t>Receita bruta do plano.</t>
        </is>
      </c>
    </row>
    <row r="7" ht="18.75" customHeight="1">
      <c r="A7" s="6" t="inlineStr">
        <is>
          <t>Número de curativos</t>
        </is>
      </c>
      <c r="B7" s="10" t="n">
        <v>6</v>
      </c>
      <c r="D7" s="8" t="inlineStr">
        <is>
          <t>Número inteiro maior que zero.</t>
        </is>
      </c>
    </row>
    <row r="8" ht="18.75" customHeight="1">
      <c r="A8" s="6" t="inlineStr">
        <is>
          <t>Local do atendimento</t>
        </is>
      </c>
      <c r="B8" s="7" t="inlineStr">
        <is>
          <t>Clínica Center</t>
        </is>
      </c>
    </row>
    <row r="9" ht="18.75" customHeight="1">
      <c r="A9" s="6" t="inlineStr">
        <is>
          <t>Forma de pagamento</t>
        </is>
      </c>
      <c r="B9" s="7" t="inlineStr">
        <is>
          <t>Pix</t>
        </is>
      </c>
      <c r="D9" s="8" t="inlineStr">
        <is>
          <t>Dinheiro, Pix, Cartão 1x, 2x ou 3x.</t>
        </is>
      </c>
    </row>
    <row r="10" ht="18.75" customHeight="1">
      <c r="A10" s="6" t="inlineStr">
        <is>
          <t>Custo de material por curativo</t>
        </is>
      </c>
      <c r="B10" s="9" t="n">
        <v>60</v>
      </c>
      <c r="D10" s="8" t="inlineStr">
        <is>
          <t>Deixe em branco se não houver.</t>
        </is>
      </c>
    </row>
    <row r="11" ht="18.75" customHeight="1">
      <c r="A11" s="6" t="inlineStr">
        <is>
          <t>Custo de deslocamento por curativo</t>
        </is>
      </c>
      <c r="B11" s="9" t="n"/>
      <c r="D11" s="8" t="inlineStr">
        <is>
          <t>Multiplicado pelo nº de curativos. Em branco = 0.</t>
        </is>
      </c>
    </row>
    <row r="12" ht="18.75" customHeight="1">
      <c r="A12" s="6" t="inlineStr">
        <is>
          <t>Outras despesas do plano</t>
        </is>
      </c>
      <c r="B12" s="9" t="n"/>
      <c r="D12" s="8" t="inlineStr">
        <is>
          <t>Valor total: insumo extra, laser etc. (sem deslocamento).</t>
        </is>
      </c>
    </row>
    <row r="13" ht="18.75" customHeight="1">
      <c r="A13" s="6" t="inlineStr">
        <is>
          <t>Despesas fixas alocadas ao plano</t>
        </is>
      </c>
      <c r="B13" s="9" t="n"/>
      <c r="D13" s="8" t="inlineStr">
        <is>
          <t>Valor total, descontado uma única vez.</t>
        </is>
      </c>
    </row>
    <row r="15" ht="18" customHeight="1">
      <c r="A15" s="4" t="inlineStr">
        <is>
          <t>DESCONTOS E DESPESAS</t>
        </is>
      </c>
      <c r="B15" s="5" t="n"/>
    </row>
    <row r="16" ht="16.5" customHeight="1">
      <c r="A16" s="6" t="inlineStr">
        <is>
          <t>Taxa da clínica</t>
        </is>
      </c>
      <c r="B16" s="11">
        <f>IF($E$2&lt;&gt;"","",$B$6*$E$3)</f>
        <v/>
      </c>
      <c r="D16" s="8">
        <f>IF($E$2&lt;&gt;"","",IF($E$3=0,$B$8&amp;": sem taxa da clínica",SUBSTITUTE(TEXT($E$3,"0.0%"),".",",")&amp;" do valor cobrado ("&amp;$B$8&amp;")"))</f>
        <v/>
      </c>
    </row>
    <row r="17" ht="16.5" customHeight="1">
      <c r="A17" s="6" t="inlineStr">
        <is>
          <t>Taxa da operadora de pagamento</t>
        </is>
      </c>
      <c r="B17" s="11">
        <f>IF($E$2&lt;&gt;"","",$B$6*$E$4)</f>
        <v/>
      </c>
      <c r="D17" s="8">
        <f>IF($E$2&lt;&gt;"","",IF($E$4=0,$B$9&amp;": sem taxa da operadora",$B$9&amp;": "&amp;SUBSTITUTE(TEXT($E$4,"0.0%"),".",",")&amp;" do valor cobrado"))</f>
        <v/>
      </c>
    </row>
    <row r="18" ht="16.5" customHeight="1">
      <c r="A18" s="6" t="inlineStr">
        <is>
          <t>Simples Nacional (estimado)</t>
        </is>
      </c>
      <c r="B18" s="11">
        <f>IF($E$2&lt;&gt;"","",$B$6*$E$5)</f>
        <v/>
      </c>
      <c r="D18" s="8">
        <f>IF($E$2&lt;&gt;"","",SUBSTITUTE(TEXT($E$5,"0.0%"),".",",")&amp;" da receita bruta — estimativa a confirmar")</f>
        <v/>
      </c>
    </row>
    <row r="19" ht="16.5" customHeight="1">
      <c r="A19" s="6" t="inlineStr">
        <is>
          <t>Materiais</t>
        </is>
      </c>
      <c r="B19" s="11">
        <f>IF($E$2&lt;&gt;"","",$B$7*N($B$10))</f>
        <v/>
      </c>
      <c r="D19" s="8">
        <f>IF($E$2&lt;&gt;"","",$B$7&amp;" curativos × custo de material")</f>
        <v/>
      </c>
    </row>
    <row r="20" ht="16.5" customHeight="1">
      <c r="A20" s="6" t="inlineStr">
        <is>
          <t>Deslocamento</t>
        </is>
      </c>
      <c r="B20" s="11">
        <f>IF($E$2&lt;&gt;"","",$B$7*N($B$11))</f>
        <v/>
      </c>
      <c r="D20" s="8">
        <f>IF($E$2&lt;&gt;"","",$B$7&amp;" curativos × custo de deslocamento")</f>
        <v/>
      </c>
    </row>
    <row r="21" ht="16.5" customHeight="1">
      <c r="A21" s="6" t="inlineStr">
        <is>
          <t>Outras despesas</t>
        </is>
      </c>
      <c r="B21" s="11">
        <f>IF($E$2&lt;&gt;"","",N($B$12))</f>
        <v/>
      </c>
    </row>
    <row r="22" ht="16.5" customHeight="1">
      <c r="A22" s="6" t="inlineStr">
        <is>
          <t>Despesas fixas alocadas</t>
        </is>
      </c>
      <c r="B22" s="11">
        <f>IF($E$2&lt;&gt;"","",N($B$13))</f>
        <v/>
      </c>
      <c r="D22" s="8">
        <f>IF($E$2&lt;&gt;"","","valor único, não multiplicado")</f>
        <v/>
      </c>
    </row>
    <row r="23" ht="21.75" customHeight="1">
      <c r="A23" s="12" t="inlineStr">
        <is>
          <t>TOTAL DE DESCONTOS E DESPESAS</t>
        </is>
      </c>
      <c r="B23" s="13">
        <f>IF($E$2&lt;&gt;"","",SUM($B$16:$B$22))</f>
        <v/>
      </c>
    </row>
    <row r="25" ht="18" customHeight="1">
      <c r="A25" s="4" t="inlineStr">
        <is>
          <t>RESULTADO DO PLANO</t>
        </is>
      </c>
      <c r="B25" s="5" t="n"/>
    </row>
    <row r="26" ht="25.5" customHeight="1">
      <c r="A26" s="14" t="inlineStr">
        <is>
          <t>VALOR FINAL  (líquido para a empresa)</t>
        </is>
      </c>
      <c r="B26" s="15">
        <f>IF($E$2&lt;&gt;"","",$B$6-$B$23)</f>
        <v/>
      </c>
    </row>
    <row r="27" ht="25.5" customHeight="1">
      <c r="A27" s="14" t="inlineStr">
        <is>
          <t>PREÇO LÍQUIDO POR CURATIVO</t>
        </is>
      </c>
      <c r="B27" s="15">
        <f>IF($E$2&lt;&gt;"","",$B$26/$B$7)</f>
        <v/>
      </c>
    </row>
    <row r="28" ht="25.5" customHeight="1">
      <c r="A28" s="14" t="inlineStr">
        <is>
          <t>MARGEM APÓS AS DESPESAS INFORMADAS</t>
        </is>
      </c>
      <c r="B28" s="16">
        <f>IF($E$2&lt;&gt;"","",$B$26/$B$6)</f>
        <v/>
      </c>
      <c r="D28" s="8" t="inlineStr">
        <is>
          <t>Margem = valor final ÷ valor cobrado (não é markup).</t>
        </is>
      </c>
    </row>
    <row r="30">
      <c r="A30" s="17">
        <f>IF($E$2&lt;&gt;"",$E$2,IF(TRIM($B$5&amp;"")="","Plano calculado. Informe o nome do paciente para poder salvar.",IF($B$26&lt;0,"ATENÇÃO: com estes valores o plano fecha com PREJUÍZO. Revise antes de fechar.","Plano calculado. Confira e clique em “Salvar simulação” para registrar no histórico.")))</f>
        <v/>
      </c>
    </row>
    <row r="31"/>
    <row r="33" ht="15" customHeight="1">
      <c r="A33" s="18" t="inlineStr">
        <is>
          <t>Para registrar: clique em “Salvar simulação” (ao lado do resultado) ou no menu Simulador → Salvar simulação. O registro vai para a aba “Histórico de simulações” com valores fixos, que não mudam depois. O simulador continua preenchido.</t>
        </is>
      </c>
    </row>
    <row r="34"/>
    <row r="36">
      <c r="A36" s="19" t="inlineStr">
        <is>
          <t>Taxas e memória de cálculo: aba Configurações.</t>
        </is>
      </c>
    </row>
  </sheetData>
  <mergeCells count="2">
    <mergeCell ref="A30:D31"/>
    <mergeCell ref="A33:D34"/>
  </mergeCells>
  <conditionalFormatting sqref="A26:B28">
    <cfRule type="expression" priority="1" dxfId="0">
      <formula>AND($E$2="",N($B$26)&lt;0)</formula>
    </cfRule>
  </conditionalFormatting>
  <conditionalFormatting sqref="A30:D31">
    <cfRule type="expression" priority="2" dxfId="1">
      <formula>OR(AND($E$2&lt;&gt;"",NOT(AND($B$6="",$B$7=""))),AND($E$2="",N($B$26)&lt;0))</formula>
    </cfRule>
  </conditionalFormatting>
  <dataValidations count="5">
    <dataValidation sqref="B6" showDropDown="0" showInputMessage="0" showErrorMessage="1" allowBlank="1" errorTitle="Valor inválido" error="Informe um valor numérico maior que zero." type="decimal" errorStyle="stop" operator="greaterThan">
      <formula1>0</formula1>
    </dataValidation>
    <dataValidation sqref="B7" showDropDown="0" showInputMessage="0" showErrorMessage="1" allowBlank="1" errorTitle="Valor inválido" error="Informe um número inteiro maior que zero." type="whole" errorStyle="stop" operator="greaterThanOrEqual">
      <formula1>1</formula1>
    </dataValidation>
    <dataValidation sqref="B10:B13" showDropDown="0" showInputMessage="0" showErrorMessage="1" allowBlank="1" errorTitle="Valor inválido" error="Informe um valor maior ou igual a zero (ou deixe em branco)." type="decimal" errorStyle="stop" operator="greaterThanOrEqual">
      <formula1>0</formula1>
    </dataValidation>
    <dataValidation sqref="B8" showDropDown="0" showInputMessage="0" showErrorMessage="1" allowBlank="1" errorTitle="Valor inválido" error="Escolha um local da lista." type="list" errorStyle="stop">
      <formula1>'Configurações'!$A$7:$A$8</formula1>
    </dataValidation>
    <dataValidation sqref="B9" showDropDown="0" showInputMessage="0" showErrorMessage="1" allowBlank="1" errorTitle="Valor inválido" error="Escolha uma forma de pagamento da lista." type="list" errorStyle="stop">
      <formula1>'Configurações'!$A$13:$A$17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</cols>
  <sheetData>
    <row r="1">
      <c r="A1" s="20" t="inlineStr">
        <is>
          <t>CONFIGURAÇÕES — TAXAS E CÁLCULOS</t>
        </is>
      </c>
    </row>
    <row r="2">
      <c r="A2" s="3" t="inlineStr">
        <is>
          <t>Véras Vasconcelos Medicina e Saúde  ·  altere apenas as taxas abaixo</t>
        </is>
      </c>
    </row>
    <row r="5">
      <c r="A5" s="21" t="inlineStr">
        <is>
          <t>1. TAXA DO LOCAL DE ATENDIMENTO</t>
        </is>
      </c>
    </row>
    <row r="6">
      <c r="A6" s="22" t="inlineStr">
        <is>
          <t>Local</t>
        </is>
      </c>
      <c r="B6" s="23" t="inlineStr">
        <is>
          <t>Taxa sobre o valor cobrado</t>
        </is>
      </c>
    </row>
    <row r="7">
      <c r="A7" s="24" t="inlineStr">
        <is>
          <t>Clínica Center</t>
        </is>
      </c>
      <c r="B7" s="25" t="n">
        <v>0.2</v>
      </c>
    </row>
    <row r="8">
      <c r="A8" s="24" t="inlineStr">
        <is>
          <t>Domicílio</t>
        </is>
      </c>
      <c r="B8" s="25" t="n">
        <v>0</v>
      </c>
    </row>
    <row r="9">
      <c r="A9" s="8" t="inlineStr">
        <is>
          <t>A Clínica Center recebe 20% do valor bruto. No domicílio não há essa taxa.</t>
        </is>
      </c>
    </row>
    <row r="11">
      <c r="A11" s="21" t="inlineStr">
        <is>
          <t>2. TAXA DA OPERADORA (FORMA DE PAGAMENTO)</t>
        </is>
      </c>
    </row>
    <row r="12">
      <c r="A12" s="22" t="inlineStr">
        <is>
          <t>Forma de pagamento</t>
        </is>
      </c>
      <c r="B12" s="23" t="inlineStr">
        <is>
          <t>Taxa sobre o valor cobrado</t>
        </is>
      </c>
    </row>
    <row r="13">
      <c r="A13" s="24" t="inlineStr">
        <is>
          <t>Dinheiro</t>
        </is>
      </c>
      <c r="B13" s="25" t="n">
        <v>0</v>
      </c>
    </row>
    <row r="14">
      <c r="A14" s="24" t="inlineStr">
        <is>
          <t>Pix</t>
        </is>
      </c>
      <c r="B14" s="25" t="n">
        <v>0</v>
      </c>
    </row>
    <row r="15">
      <c r="A15" s="24" t="inlineStr">
        <is>
          <t>Cartão 1x</t>
        </is>
      </c>
      <c r="B15" s="26" t="n"/>
    </row>
    <row r="16">
      <c r="A16" s="24" t="inlineStr">
        <is>
          <t>Cartão 2x</t>
        </is>
      </c>
      <c r="B16" s="25" t="n">
        <v>0.06</v>
      </c>
    </row>
    <row r="17">
      <c r="A17" s="24" t="inlineStr">
        <is>
          <t>Cartão 3x</t>
        </is>
      </c>
      <c r="B17" s="25" t="n">
        <v>0.08400000000000001</v>
      </c>
    </row>
    <row r="18" ht="15" customHeight="1">
      <c r="A18" s="18" t="inlineStr">
        <is>
          <t>Cartão 1x está em branco de propósito: a taxa ainda não foi informada. Enquanto estiver vazia, o Simulador não calcula nem salva planos em 1x (avisa na tela).</t>
        </is>
      </c>
    </row>
    <row r="19"/>
    <row r="20" ht="15" customHeight="1">
      <c r="A20" s="18" t="inlineStr">
        <is>
          <t>Dinheiro e Pix: sem taxa da operadora · Cartão 2x = 6% (aproximado, informado pelos sócios) · Cartão 3x = 8,4%.</t>
        </is>
      </c>
    </row>
    <row r="21"/>
    <row r="23">
      <c r="A23" s="21" t="inlineStr">
        <is>
          <t>3. IMPOSTO</t>
        </is>
      </c>
    </row>
    <row r="24">
      <c r="A24" s="24" t="inlineStr">
        <is>
          <t>Simples Nacional (estimativa)</t>
        </is>
      </c>
      <c r="B24" s="25" t="n">
        <v>0.06</v>
      </c>
    </row>
    <row r="25" ht="15" customHeight="1">
      <c r="A25" s="27" t="inlineStr">
        <is>
          <t>REGRA DO MVP 1.1: Simples Nacional = receita bruta do plano × alíquota acima, aplicada sobre o valor cobrado integral (antes das taxas da clínica e da operadora e das despesas), em todas as formas de pagamento, inclusive dinheiro e Pix. A alíquota de 6% é estimativa e varia por faixa de faturamento — confirme com a contabilidade e ajuste aqui quando necessário.</t>
        </is>
      </c>
    </row>
    <row r="26"/>
    <row r="27"/>
    <row r="28"/>
    <row r="30">
      <c r="A30" s="21" t="inlineStr">
        <is>
          <t>4. COMO O SIMULADOR CALCULA</t>
        </is>
      </c>
    </row>
    <row r="31">
      <c r="A31" s="28" t="inlineStr">
        <is>
          <t>•  Taxa da clínica = valor cobrado × taxa do local (item 1)</t>
        </is>
      </c>
    </row>
    <row r="32">
      <c r="A32" s="28" t="inlineStr">
        <is>
          <t>•  Taxa da operadora = valor cobrado × taxa da forma de pagamento (item 2)</t>
        </is>
      </c>
    </row>
    <row r="33">
      <c r="A33" s="28" t="inlineStr">
        <is>
          <t>•  Simples Nacional = valor cobrado (receita bruta) × alíquota (item 3)</t>
        </is>
      </c>
    </row>
    <row r="34">
      <c r="A34" s="28" t="inlineStr">
        <is>
          <t>•  Materiais = número de curativos × custo de material por curativo</t>
        </is>
      </c>
    </row>
    <row r="35">
      <c r="A35" s="28" t="inlineStr">
        <is>
          <t>•  Deslocamento = número de curativos × custo de deslocamento por curativo</t>
        </is>
      </c>
    </row>
    <row r="36">
      <c r="A36" s="28" t="inlineStr">
        <is>
          <t>•  Outras despesas e despesas fixas alocadas = valores totais informados (uma vez)</t>
        </is>
      </c>
    </row>
    <row r="37">
      <c r="A37" s="28" t="inlineStr">
        <is>
          <t>•  Despesas totais = clínica + operadora + Simples + materiais + deslocamento + outras + fixas</t>
        </is>
      </c>
    </row>
    <row r="38">
      <c r="A38" s="28" t="inlineStr">
        <is>
          <t>•  Valor final = valor cobrado − despesas totais (pode ser negativo = prejuízo)</t>
        </is>
      </c>
    </row>
    <row r="39">
      <c r="A39" s="28" t="inlineStr">
        <is>
          <t>•  Preço líquido por curativo = valor final ÷ número de curativos</t>
        </is>
      </c>
    </row>
    <row r="40">
      <c r="A40" s="28" t="inlineStr">
        <is>
          <t>•  Margem = valor final ÷ valor cobrado (margem sobre a receita, não markup)</t>
        </is>
      </c>
    </row>
    <row r="42" ht="15" customHeight="1">
      <c r="A42" s="18" t="inlineStr">
        <is>
          <t>O Simulador deixa os resultados em branco quando falta um campo, quando há valor inválido ou quando a taxa da forma de pagamento escolhida não está cadastrada aqui — assim nenhum número parece válido sem estar. O botão “Salvar simulação” faz as mesmas verificações antes de gravar.</t>
        </is>
      </c>
    </row>
    <row r="43"/>
    <row r="44"/>
    <row r="46">
      <c r="A46" s="19" t="inlineStr">
        <is>
          <t>Versão 1.1 — 24/10/2026 · salvamento automático no histórico (base: v1.0 de 21/09/2026, revisão Dr. Weverton Vasconcelos)</t>
        </is>
      </c>
    </row>
  </sheetData>
  <mergeCells count="4">
    <mergeCell ref="A25:B28"/>
    <mergeCell ref="A18:B19"/>
    <mergeCell ref="A42:B44"/>
    <mergeCell ref="A20:B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4" customWidth="1" min="4" max="4"/>
    <col width="11" customWidth="1" min="5" max="5"/>
    <col width="16" customWidth="1" min="6" max="6"/>
    <col width="14" customWidth="1" min="7" max="7"/>
    <col width="13" customWidth="1" min="8" max="8"/>
    <col width="13" customWidth="1" min="9" max="9"/>
    <col width="14" customWidth="1" min="10" max="10"/>
    <col width="14" customWidth="1" min="11" max="11"/>
    <col width="13" customWidth="1" min="12" max="12"/>
    <col width="14" customWidth="1" min="13" max="13"/>
    <col width="11" customWidth="1" min="14" max="14"/>
    <col width="13" customWidth="1" min="15" max="15"/>
    <col width="11" customWidth="1" min="16" max="16"/>
    <col width="13" customWidth="1" min="17" max="17"/>
    <col width="11" customWidth="1" min="18" max="18"/>
    <col width="13" customWidth="1" min="19" max="19"/>
    <col width="15" customWidth="1" min="20" max="20"/>
    <col width="15" customWidth="1" min="21" max="21"/>
    <col width="15" customWidth="1" min="22" max="22"/>
    <col width="11" customWidth="1" min="23" max="23"/>
  </cols>
  <sheetData>
    <row r="1">
      <c r="A1" s="20" t="inlineStr">
        <is>
          <t>HISTÓRICO DE SIMULAÇÕES</t>
        </is>
      </c>
    </row>
    <row r="2" ht="15" customHeight="1">
      <c r="A2" s="18" t="inlineStr">
        <is>
          <t>Registros gravados automaticamente pelo botão “Salvar simulação” (ou menu Simulador → Salvar simulação), como valores fixos: não mudam quando o Simulador ou as taxas forem alterados. Não insira linhas nem edite acima da linha 5.</t>
        </is>
      </c>
    </row>
    <row r="3" ht="15" customHeight="1"/>
    <row r="4" ht="42" customHeight="1">
      <c r="A4" s="29" t="inlineStr">
        <is>
          <t>ID do registro</t>
        </is>
      </c>
      <c r="B4" s="29" t="inlineStr">
        <is>
          <t>Data e hora</t>
        </is>
      </c>
      <c r="C4" s="29" t="inlineStr">
        <is>
          <t>Nome do paciente</t>
        </is>
      </c>
      <c r="D4" s="29" t="inlineStr">
        <is>
          <t>Receita bruta</t>
        </is>
      </c>
      <c r="E4" s="29" t="inlineStr">
        <is>
          <t>Nº de curativos</t>
        </is>
      </c>
      <c r="F4" s="29" t="inlineStr">
        <is>
          <t>Local de atendimento</t>
        </is>
      </c>
      <c r="G4" s="29" t="inlineStr">
        <is>
          <t>Forma de pagamento</t>
        </is>
      </c>
      <c r="H4" s="29" t="inlineStr">
        <is>
          <t>Material por curativo</t>
        </is>
      </c>
      <c r="I4" s="29" t="inlineStr">
        <is>
          <t>Materiais (total)</t>
        </is>
      </c>
      <c r="J4" s="29" t="inlineStr">
        <is>
          <t>Deslocamento por curativo</t>
        </is>
      </c>
      <c r="K4" s="29" t="inlineStr">
        <is>
          <t>Deslocamento (total)</t>
        </is>
      </c>
      <c r="L4" s="29" t="inlineStr">
        <is>
          <t>Outras despesas</t>
        </is>
      </c>
      <c r="M4" s="29" t="inlineStr">
        <is>
          <t>Despesas fixas alocadas</t>
        </is>
      </c>
      <c r="N4" s="29" t="inlineStr">
        <is>
          <t>Taxa da clínica (%)</t>
        </is>
      </c>
      <c r="O4" s="29" t="inlineStr">
        <is>
          <t>Taxa da clínica (R$)</t>
        </is>
      </c>
      <c r="P4" s="29" t="inlineStr">
        <is>
          <t>Taxa da operadora (%)</t>
        </is>
      </c>
      <c r="Q4" s="29" t="inlineStr">
        <is>
          <t>Taxa da operadora (R$)</t>
        </is>
      </c>
      <c r="R4" s="29" t="inlineStr">
        <is>
          <t>Simples Nacional (%)</t>
        </is>
      </c>
      <c r="S4" s="29" t="inlineStr">
        <is>
          <t>Simples Nacional (R$)</t>
        </is>
      </c>
      <c r="T4" s="29" t="inlineStr">
        <is>
          <t>Total de descontos e despesas</t>
        </is>
      </c>
      <c r="U4" s="29" t="inlineStr">
        <is>
          <t>Resultado líquido estimado</t>
        </is>
      </c>
      <c r="V4" s="29" t="inlineStr">
        <is>
          <t>Resultado líquido por curativo</t>
        </is>
      </c>
      <c r="W4" s="29" t="inlineStr">
        <is>
          <t>Margem estimada</t>
        </is>
      </c>
    </row>
  </sheetData>
  <autoFilter ref="A4:W1000"/>
  <mergeCells count="1">
    <mergeCell ref="A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2026-10-24T02:29:11Z</dcterms:created>
  <dcterms:modified xmlns:dcterms="http://purl.org/dc/terms/" xmlns:xsi="http://www.w3.org/2001/XMLSchema-instance" xsi:type="dcterms:W3CDTF">2026-10-24T02:29:11Z</dcterms:modified>
</cp:coreProperties>
</file>